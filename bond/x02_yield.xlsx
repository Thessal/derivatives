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<sst xmlns="http://schemas.openxmlformats.org/spreadsheetml/2006/main" count="40" uniqueCount="26">
  <si>
    <t>Money market situation and the company's credit gives :</t>
  </si>
  <si>
    <t>Term</t>
  </si>
  <si>
    <t>Zero rate (cont. comp.)</t>
  </si>
  <si>
    <t>Discount</t>
  </si>
  <si>
    <t>CFO want to sell bond at 100 :</t>
  </si>
  <si>
    <t>principal</t>
  </si>
  <si>
    <t>coupon rate</t>
  </si>
  <si>
    <t>&lt;- Par yield calculated from the python code</t>
  </si>
  <si>
    <t>dt</t>
  </si>
  <si>
    <t>coupon amt</t>
  </si>
  <si>
    <t>Cashflow</t>
  </si>
  <si>
    <t>PV</t>
  </si>
  <si>
    <t>PV TOTAL:</t>
  </si>
  <si>
    <t>Bond Yield of this par yield bond</t>
  </si>
  <si>
    <t>--&gt; We need term, principal, coupon, market price to calculate the bond yield</t>
  </si>
  <si>
    <t>settlement</t>
  </si>
  <si>
    <t>maturity</t>
  </si>
  <si>
    <t>price</t>
  </si>
  <si>
    <t>redemption</t>
  </si>
  <si>
    <t>frequency</t>
  </si>
  <si>
    <t>Bond Yield</t>
  </si>
  <si>
    <t>Error</t>
  </si>
  <si>
    <t>Bond Yield Example (Hull's book)</t>
  </si>
  <si>
    <t>&lt;- discrete semi-annual</t>
  </si>
  <si>
    <t>&lt;- continuous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</si>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</sst>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000%"/>
    <numFmt numFmtId="166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11" xfId="0" applyFont="1" applyNumberFormat="1"/>
    <xf borderId="0" fillId="0" fontId="2" numFmtId="9" xfId="0" applyAlignment="1" applyFont="1" applyNumberForma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</cols>
  <sheetData>
    <row r="2">
      <c r="B2" s="1" t="s">
        <v>0</v>
      </c>
    </row>
    <row r="3">
      <c r="B3" s="2" t="s">
        <v>1</v>
      </c>
      <c r="C3" s="2" t="s">
        <v>2</v>
      </c>
      <c r="D3" s="2" t="s">
        <v>3</v>
      </c>
    </row>
    <row r="4">
      <c r="B4" s="2">
        <v>0.0</v>
      </c>
      <c r="C4" s="3"/>
      <c r="D4" s="4">
        <v>1.0</v>
      </c>
    </row>
    <row r="5">
      <c r="B5" s="2">
        <v>0.5</v>
      </c>
      <c r="C5" s="4">
        <v>0.05</v>
      </c>
      <c r="D5" s="3">
        <f t="shared" ref="D5:D8" si="1">1/exp(C5*B5)</f>
        <v>0.975309912</v>
      </c>
    </row>
    <row r="6">
      <c r="B6" s="2">
        <v>1.0</v>
      </c>
      <c r="C6" s="4">
        <v>0.058</v>
      </c>
      <c r="D6" s="3">
        <f t="shared" si="1"/>
        <v>0.9436499474</v>
      </c>
    </row>
    <row r="7">
      <c r="B7" s="2">
        <v>1.5</v>
      </c>
      <c r="C7" s="4">
        <v>0.064</v>
      </c>
      <c r="D7" s="3">
        <f t="shared" si="1"/>
        <v>0.9084640161</v>
      </c>
    </row>
    <row r="8">
      <c r="B8" s="2">
        <v>2.0</v>
      </c>
      <c r="C8" s="4">
        <v>0.068</v>
      </c>
      <c r="D8" s="3">
        <f t="shared" si="1"/>
        <v>0.8728426325</v>
      </c>
    </row>
    <row r="10">
      <c r="B10" s="1" t="s">
        <v>4</v>
      </c>
    </row>
    <row r="11">
      <c r="B11" s="5" t="s">
        <v>5</v>
      </c>
      <c r="C11" s="5">
        <v>100.0</v>
      </c>
    </row>
    <row r="12">
      <c r="B12" s="5" t="s">
        <v>6</v>
      </c>
      <c r="C12" s="6">
        <v>0.0687287616908622</v>
      </c>
      <c r="D12" s="5" t="s">
        <v>7</v>
      </c>
    </row>
    <row r="13">
      <c r="B13" s="5" t="s">
        <v>8</v>
      </c>
      <c r="C13" s="5">
        <v>0.5</v>
      </c>
    </row>
    <row r="14">
      <c r="B14" s="5" t="s">
        <v>9</v>
      </c>
      <c r="C14" s="5">
        <f>C11*C12*C13</f>
        <v>3.436438085</v>
      </c>
    </row>
    <row r="15">
      <c r="B15" s="2" t="s">
        <v>1</v>
      </c>
      <c r="C15" s="2" t="s">
        <v>10</v>
      </c>
      <c r="D15" s="2" t="s">
        <v>11</v>
      </c>
    </row>
    <row r="16">
      <c r="B16" s="2">
        <v>0.0</v>
      </c>
      <c r="C16" s="4">
        <v>100.0</v>
      </c>
      <c r="D16" s="3">
        <f t="shared" ref="D16:D20" si="2">C16*D4</f>
        <v>100</v>
      </c>
    </row>
    <row r="17">
      <c r="B17" s="2">
        <v>0.5</v>
      </c>
      <c r="C17" s="4">
        <f>-C14</f>
        <v>-3.436438085</v>
      </c>
      <c r="D17" s="3">
        <f t="shared" si="2"/>
        <v>-3.351592126</v>
      </c>
    </row>
    <row r="18">
      <c r="B18" s="2">
        <v>1.0</v>
      </c>
      <c r="C18" s="3">
        <f>-C14</f>
        <v>-3.436438085</v>
      </c>
      <c r="D18" s="3">
        <f t="shared" si="2"/>
        <v>-3.242794618</v>
      </c>
    </row>
    <row r="19">
      <c r="B19" s="2">
        <v>1.5</v>
      </c>
      <c r="C19" s="3">
        <f>-C14</f>
        <v>-3.436438085</v>
      </c>
      <c r="D19" s="3">
        <f t="shared" si="2"/>
        <v>-3.121880343</v>
      </c>
    </row>
    <row r="20">
      <c r="B20" s="2">
        <v>2.0</v>
      </c>
      <c r="C20" s="3">
        <f>-C11-C14</f>
        <v>-103.4364381</v>
      </c>
      <c r="D20" s="3">
        <f t="shared" si="2"/>
        <v>-90.28373291</v>
      </c>
    </row>
    <row r="21">
      <c r="C21" s="5" t="s">
        <v>12</v>
      </c>
      <c r="D21" s="7">
        <f>SUM(D16:D20)</f>
        <v>0</v>
      </c>
    </row>
    <row r="23">
      <c r="B23" s="1" t="s">
        <v>13</v>
      </c>
      <c r="D23" s="5" t="s">
        <v>14</v>
      </c>
    </row>
    <row r="24">
      <c r="B24" s="5" t="s">
        <v>15</v>
      </c>
      <c r="C24" s="8">
        <v>36526.0</v>
      </c>
    </row>
    <row r="25">
      <c r="B25" s="5" t="s">
        <v>16</v>
      </c>
      <c r="C25" s="8">
        <v>37257.0</v>
      </c>
    </row>
    <row r="26">
      <c r="B26" s="5" t="s">
        <v>6</v>
      </c>
      <c r="C26" s="6">
        <f>C12</f>
        <v>0.06872876169</v>
      </c>
    </row>
    <row r="27">
      <c r="B27" s="5" t="s">
        <v>17</v>
      </c>
      <c r="C27" s="5">
        <v>100.0</v>
      </c>
    </row>
    <row r="28">
      <c r="B28" s="5" t="s">
        <v>18</v>
      </c>
      <c r="C28" s="5">
        <v>100.0</v>
      </c>
    </row>
    <row r="29">
      <c r="B29" s="5" t="s">
        <v>19</v>
      </c>
      <c r="C29" s="5">
        <v>2.0</v>
      </c>
    </row>
    <row r="30">
      <c r="B30" s="5" t="s">
        <v>20</v>
      </c>
      <c r="C30" s="9">
        <f>YIELD(C24,C25,C26,C27,C28,C29)</f>
        <v>0.06872876169</v>
      </c>
    </row>
    <row r="31">
      <c r="B31" s="5" t="s">
        <v>21</v>
      </c>
      <c r="C31" s="10">
        <f>C12-C30</f>
        <v>0</v>
      </c>
    </row>
    <row r="33">
      <c r="B33" s="1" t="s">
        <v>22</v>
      </c>
      <c r="D33" s="5" t="s">
        <v>14</v>
      </c>
    </row>
    <row r="34">
      <c r="B34" s="5" t="s">
        <v>15</v>
      </c>
      <c r="C34" s="8">
        <v>36526.0</v>
      </c>
    </row>
    <row r="35">
      <c r="B35" s="5" t="s">
        <v>16</v>
      </c>
      <c r="C35" s="8">
        <v>37257.0</v>
      </c>
      <c r="F35" s="2" t="s">
        <v>1</v>
      </c>
      <c r="G35" s="2" t="s">
        <v>10</v>
      </c>
      <c r="H35" s="2" t="s">
        <v>11</v>
      </c>
    </row>
    <row r="36">
      <c r="B36" s="5" t="s">
        <v>6</v>
      </c>
      <c r="C36" s="11">
        <v>0.06</v>
      </c>
      <c r="F36" s="2">
        <v>0.0</v>
      </c>
      <c r="G36" s="4">
        <v>0.0</v>
      </c>
      <c r="H36" s="3">
        <f>-C37</f>
        <v>-98.39</v>
      </c>
    </row>
    <row r="37">
      <c r="B37" s="5" t="s">
        <v>17</v>
      </c>
      <c r="C37" s="5">
        <v>98.39</v>
      </c>
      <c r="F37" s="2">
        <v>0.5</v>
      </c>
      <c r="G37" s="4">
        <v>3.0</v>
      </c>
      <c r="H37" s="3">
        <f t="shared" ref="H37:H40" si="3">G37*exp(-F37*C$41)</f>
        <v>2.90029718</v>
      </c>
    </row>
    <row r="38">
      <c r="B38" s="5" t="s">
        <v>18</v>
      </c>
      <c r="C38" s="5">
        <v>100.0</v>
      </c>
      <c r="F38" s="2">
        <v>1.0</v>
      </c>
      <c r="G38" s="4">
        <v>3.0</v>
      </c>
      <c r="H38" s="3">
        <f t="shared" si="3"/>
        <v>2.80390791</v>
      </c>
    </row>
    <row r="39">
      <c r="B39" s="5" t="s">
        <v>19</v>
      </c>
      <c r="C39" s="5">
        <v>2.0</v>
      </c>
      <c r="F39" s="2">
        <v>1.5</v>
      </c>
      <c r="G39" s="4">
        <v>3.0</v>
      </c>
      <c r="H39" s="3">
        <f t="shared" si="3"/>
        <v>2.710722068</v>
      </c>
    </row>
    <row r="40">
      <c r="B40" s="5" t="s">
        <v>20</v>
      </c>
      <c r="C40" s="6">
        <f>YIELD(C34,C35,C36,C37,C38,C39)</f>
        <v>0.06875352011</v>
      </c>
      <c r="D40" s="5" t="s">
        <v>23</v>
      </c>
      <c r="F40" s="2">
        <v>2.0</v>
      </c>
      <c r="G40" s="4">
        <v>103.0</v>
      </c>
      <c r="H40" s="3">
        <f t="shared" si="3"/>
        <v>89.97507285</v>
      </c>
    </row>
    <row r="41">
      <c r="B41" s="5" t="s">
        <v>20</v>
      </c>
      <c r="C41" s="12">
        <f>C39*LN(1+C40/C39)</f>
        <v>0.06759816229</v>
      </c>
      <c r="D41" s="5" t="s">
        <v>24</v>
      </c>
      <c r="G41" s="5" t="s">
        <v>25</v>
      </c>
      <c r="H41" s="7">
        <f>SUM(H36:H40)</f>
        <v>0.000000009039851534</v>
      </c>
    </row>
  </sheetData>
  <drawing r:id="rId1"/>
</worksheet>
</file>